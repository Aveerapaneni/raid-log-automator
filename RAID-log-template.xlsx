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ID Log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<sst xmlns="http://schemas.openxmlformats.org/spreadsheetml/2006/main" count="72" uniqueCount="67">
  <si>
    <t xml:space="preserve">RAID Log — [Project Name]</t>
  </si>
  <si>
    <t xml:space="preserve">Risks, Assumptions, Issues, Dependencies  |  Owner: [Program Manager]  |  Last reviewed: [date]</t>
  </si>
  <si>
    <t xml:space="preserve">ID</t>
  </si>
  <si>
    <t xml:space="preserve">Category</t>
  </si>
  <si>
    <t xml:space="preserve">Description</t>
  </si>
  <si>
    <t xml:space="preserve">Date Raised</t>
  </si>
  <si>
    <t xml:space="preserve">Owner</t>
  </si>
  <si>
    <t xml:space="preserve">Probability (1-5)</t>
  </si>
  <si>
    <t xml:space="preserve">Impact (1-5)</t>
  </si>
  <si>
    <t xml:space="preserve">Priority Score</t>
  </si>
  <si>
    <t xml:space="preserve">Status</t>
  </si>
  <si>
    <t xml:space="preserve">Mitigation / Response Plan</t>
  </si>
  <si>
    <t xml:space="preserve">Target Date</t>
  </si>
  <si>
    <t xml:space="preserve">Days Open</t>
  </si>
  <si>
    <t xml:space="preserve">Last Updated</t>
  </si>
  <si>
    <t xml:space="preserve">Notes</t>
  </si>
  <si>
    <t xml:space="preserve">R-001</t>
  </si>
  <si>
    <t xml:space="preserve">Risk</t>
  </si>
  <si>
    <t xml:space="preserve">Vendor may not deliver API access before sprint 12 start</t>
  </si>
  <si>
    <t xml:space="preserve">Asha Veerpaneni</t>
  </si>
  <si>
    <t xml:space="preserve">Monitoring</t>
  </si>
  <si>
    <t xml:space="preserve">Weekly check-in with vendor PM; fallback mock endpoint ready if slip confirmed by Aug 20</t>
  </si>
  <si>
    <t xml:space="preserve">Escalate to Sponsor if unresolved by target date</t>
  </si>
  <si>
    <t xml:space="preserve">A-002</t>
  </si>
  <si>
    <t xml:space="preserve">Assumption</t>
  </si>
  <si>
    <t xml:space="preserve">Assuming Team Bravo's test environment will be ready by sprint start</t>
  </si>
  <si>
    <t xml:space="preserve">Marcus Cho</t>
  </si>
  <si>
    <t xml:space="preserve">Open</t>
  </si>
  <si>
    <t xml:space="preserve">Confirm with infra team by Aug 18; adjust sprint scope if assumption is false</t>
  </si>
  <si>
    <t xml:space="preserve">Not yet validated</t>
  </si>
  <si>
    <t xml:space="preserve">I-003</t>
  </si>
  <si>
    <t xml:space="preserve">Issue</t>
  </si>
  <si>
    <t xml:space="preserve">Notification service memory leak causing intermittent outages</t>
  </si>
  <si>
    <t xml:space="preserve">Priya Nair</t>
  </si>
  <si>
    <t xml:space="preserve">Escalated</t>
  </si>
  <si>
    <t xml:space="preserve">Hotfix in progress; rollback plan ready if not resolved by end of week</t>
  </si>
  <si>
    <t xml:space="preserve">Escalated to Engineering Director on Aug 12</t>
  </si>
  <si>
    <t xml:space="preserve">D-004</t>
  </si>
  <si>
    <t xml:space="preserve">Dependency</t>
  </si>
  <si>
    <t xml:space="preserve">Reporting dashboard migration depends on Data Platform team's pipeline API</t>
  </si>
  <si>
    <t xml:space="preserve">Dana Lee</t>
  </si>
  <si>
    <t xml:space="preserve">Dependency confirmed on Data Platform's roadmap for Aug 25; tracking via their JIRA</t>
  </si>
  <si>
    <t xml:space="preserve">No slippage reported yet</t>
  </si>
  <si>
    <t xml:space="preserve">How to use this RAID log</t>
  </si>
  <si>
    <t xml:space="preserve">Risk = might happen and would hurt the project. Assumption = treated as true, unvalidated. Issue = already happening, needs active resolution. Dependency = something outside your control that you're relying on.</t>
  </si>
  <si>
    <t xml:space="preserve">Probability / Impact</t>
  </si>
  <si>
    <t xml:space="preserve">Rate 1 (low) to 5 (high). For Risks, Probability = likelihood it occurs; Impact = damage if it does. For Issues, leave Probability blank and rate Impact as current severity. For Assumptions/Dependencies, use both to reflect how critical the item is if it goes wrong.</t>
  </si>
  <si>
    <t xml:space="preserve">Calculated automatically as Probability x Impact. 15+ = high priority (red), 8-14 = medium (orange), below 8 = low (no highlight).</t>
  </si>
  <si>
    <t xml:space="preserve">Open = logged, not yet actively managed. Monitoring = being watched, no action needed yet. Escalated = needs leadership attention now. Closed = resolved.</t>
  </si>
  <si>
    <t xml:space="preserve">Calculated automatically from Date Raised. Blank once Status is set to Closed.</t>
  </si>
  <si>
    <t xml:space="preserve">Yellow-shaded rows</t>
  </si>
  <si>
    <t xml:space="preserve">Blank rows ready for you to fill in — replace the shading once populated if you prefer a cleaner look.</t>
  </si>
  <si>
    <t xml:space="preserve">Recommended cadence</t>
  </si>
  <si>
    <t xml:space="preserve">Review weekly as a standing agenda item. Anything Escalated or open &gt;14 days should be called out explicitly to stakeholders, not buried in the full log.</t>
  </si>
  <si>
    <t xml:space="preserve">Log discipline — rules to follow</t>
  </si>
  <si>
    <t xml:space="preserve">One category at a time</t>
  </si>
  <si>
    <t xml:space="preserve">A risk that materializes becomes an Issue, not both — update the existing row's Category and Status rather than creating a duplicate entry. Same for an assumption that turns out false: convert it to an Issue (if it already caused harm) or a Risk (if it's now a known future concern).</t>
  </si>
  <si>
    <t xml:space="preserve">One named owner per entry</t>
  </si>
  <si>
    <t xml:space="preserve">Never a team or department name. "Engineering" isn't accountable; a specific person is. Reassign explicitly if ownership changes — don't leave it blank.</t>
  </si>
  <si>
    <t xml:space="preserve">No entry without a plan</t>
  </si>
  <si>
    <t xml:space="preserve">A Risk or Issue needs a mitigation or response plan before it's considered logged, not just a description of the problem. A Dependency needs a specific date and named source. An Assumption needs a validation date.</t>
  </si>
  <si>
    <t xml:space="preserve">Never delete — close instead</t>
  </si>
  <si>
    <t xml:space="preserve">Closed items stay in the log with Status = Closed. Deleting loses the historical record of what was known and when, which matters for retrospectives and, in regulated environments, for audits.</t>
  </si>
  <si>
    <t xml:space="preserve">Log status changes, don't silently overwrite</t>
  </si>
  <si>
    <t xml:space="preserve">When a score or status changes, update Last Updated so there's a visible trail of when something got better or worse — not just its current state.</t>
  </si>
  <si>
    <t xml:space="preserve">Separate sensitive items if sharing broadly</t>
  </si>
  <si>
    <t xml:space="preserve">If this log goes to external stakeholders or a wide audience, keep anything sensitive (vendor pricing, personnel issues, legal exposure) in a restricted version instead of the general-access log.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</si>
</sst>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3E5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2C3E5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F3CD"/>
        </patternFill>
      </fill>
    </dxf>
    <dxf>
      <fill>
        <patternFill>
          <bgColor rgb="FFD6EAF8"/>
        </patternFill>
      </fill>
    </dxf>
    <dxf>
      <fill>
        <patternFill>
          <bgColor rgb="FFF5B7B1"/>
        </patternFill>
      </fill>
    </dxf>
    <dxf>
      <fill>
        <patternFill>
          <bgColor rgb="FFD5F5E3"/>
        </patternFill>
      </fill>
    </dxf>
    <dxf>
      <fill>
        <patternFill>
          <bgColor rgb="FFFDEB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BD0"/>
      <rgbColor rgb="FFD5F5E3"/>
      <rgbColor rgb="FFFFF3CD"/>
      <rgbColor rgb="FF99CCFF"/>
      <rgbColor rgb="FFFF99CC"/>
      <rgbColor rgb="FFCC99FF"/>
      <rgbColor rgb="FFF5B7B1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3"/>
    <col collapsed="false" customWidth="true" hidden="false" outlineLevel="0" max="3" min="3" style="1" width="34"/>
    <col collapsed="false" customWidth="true" hidden="false" outlineLevel="0" max="4" min="4" style="1" width="13"/>
    <col collapsed="false" customWidth="true" hidden="false" outlineLevel="0" max="6" min="5" style="1" width="14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0" min="10" style="1" width="34"/>
    <col collapsed="false" customWidth="true" hidden="false" outlineLevel="0" max="11" min="11" style="1" width="13"/>
    <col collapsed="false" customWidth="true" hidden="false" outlineLevel="0" max="12" min="12" style="1" width="11"/>
    <col collapsed="false" customWidth="true" hidden="false" outlineLevel="0" max="13" min="13" style="1" width="13"/>
    <col collapsed="false" customWidth="true" hidden="false" outlineLevel="0" max="14" min="14" style="1" width="26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34.5" hidden="false" customHeight="true" outlineLevel="0" collapsed="false">
      <c r="A5" s="5" t="s">
        <v>16</v>
      </c>
      <c r="B5" s="5" t="s">
        <v>17</v>
      </c>
      <c r="C5" s="6" t="s">
        <v>18</v>
      </c>
      <c r="D5" s="7" t="n">
        <v>46238</v>
      </c>
      <c r="E5" s="5" t="s">
        <v>19</v>
      </c>
      <c r="F5" s="5" t="n">
        <v>3</v>
      </c>
      <c r="G5" s="5" t="n">
        <v>4</v>
      </c>
      <c r="H5" s="8" t="n">
        <f aca="false">IF(OR(F5="",G5=""),"",F5*G5)</f>
        <v>12</v>
      </c>
      <c r="I5" s="5" t="s">
        <v>20</v>
      </c>
      <c r="J5" s="6" t="s">
        <v>21</v>
      </c>
      <c r="K5" s="7" t="n">
        <v>46268</v>
      </c>
      <c r="L5" s="5" t="n">
        <f aca="true">IF(I5="Closed","",TODAY()-D5)</f>
        <v>10</v>
      </c>
      <c r="M5" s="7" t="n">
        <v>46247</v>
      </c>
      <c r="N5" s="6" t="s">
        <v>22</v>
      </c>
    </row>
    <row r="6" customFormat="false" ht="23.25" hidden="false" customHeight="true" outlineLevel="0" collapsed="false">
      <c r="A6" s="5" t="s">
        <v>23</v>
      </c>
      <c r="B6" s="5" t="s">
        <v>24</v>
      </c>
      <c r="C6" s="6" t="s">
        <v>25</v>
      </c>
      <c r="D6" s="7" t="n">
        <v>46241</v>
      </c>
      <c r="E6" s="5" t="s">
        <v>26</v>
      </c>
      <c r="F6" s="5" t="n">
        <v>2</v>
      </c>
      <c r="G6" s="5" t="n">
        <v>3</v>
      </c>
      <c r="H6" s="8" t="n">
        <f aca="false">IF(OR(F6="",G6=""),"",F6*G6)</f>
        <v>6</v>
      </c>
      <c r="I6" s="5" t="s">
        <v>27</v>
      </c>
      <c r="J6" s="6" t="s">
        <v>28</v>
      </c>
      <c r="K6" s="7" t="n">
        <v>46254</v>
      </c>
      <c r="L6" s="5" t="n">
        <f aca="true">IF(I6="Closed","",TODAY()-D6)</f>
        <v>7</v>
      </c>
      <c r="M6" s="7" t="n">
        <v>46246</v>
      </c>
      <c r="N6" s="6" t="s">
        <v>29</v>
      </c>
    </row>
    <row r="7" customFormat="false" ht="23.25" hidden="false" customHeight="true" outlineLevel="0" collapsed="false">
      <c r="A7" s="5" t="s">
        <v>30</v>
      </c>
      <c r="B7" s="5" t="s">
        <v>31</v>
      </c>
      <c r="C7" s="6" t="s">
        <v>32</v>
      </c>
      <c r="D7" s="7" t="n">
        <v>46245</v>
      </c>
      <c r="E7" s="5" t="s">
        <v>33</v>
      </c>
      <c r="F7" s="5"/>
      <c r="G7" s="5" t="n">
        <v>5</v>
      </c>
      <c r="H7" s="8" t="str">
        <f aca="false">IF(OR(F7="",G7=""),"",F7*G7)</f>
        <v/>
      </c>
      <c r="I7" s="5" t="s">
        <v>34</v>
      </c>
      <c r="J7" s="6" t="s">
        <v>35</v>
      </c>
      <c r="K7" s="7" t="n">
        <v>46250</v>
      </c>
      <c r="L7" s="5" t="n">
        <f aca="true">IF(I7="Closed","",TODAY()-D7)</f>
        <v>3</v>
      </c>
      <c r="M7" s="7" t="n">
        <v>46248</v>
      </c>
      <c r="N7" s="6" t="s">
        <v>36</v>
      </c>
    </row>
    <row r="8" customFormat="false" ht="34.5" hidden="false" customHeight="true" outlineLevel="0" collapsed="false">
      <c r="A8" s="5" t="s">
        <v>37</v>
      </c>
      <c r="B8" s="5" t="s">
        <v>38</v>
      </c>
      <c r="C8" s="6" t="s">
        <v>39</v>
      </c>
      <c r="D8" s="7" t="n">
        <v>46234</v>
      </c>
      <c r="E8" s="5" t="s">
        <v>40</v>
      </c>
      <c r="F8" s="5" t="n">
        <v>2</v>
      </c>
      <c r="G8" s="5" t="n">
        <v>4</v>
      </c>
      <c r="H8" s="8" t="n">
        <f aca="false">IF(OR(F8="",G8=""),"",F8*G8)</f>
        <v>8</v>
      </c>
      <c r="I8" s="5" t="s">
        <v>27</v>
      </c>
      <c r="J8" s="6" t="s">
        <v>41</v>
      </c>
      <c r="K8" s="7" t="n">
        <v>46263</v>
      </c>
      <c r="L8" s="5" t="n">
        <f aca="true">IF(I8="Closed","",TODAY()-D8)</f>
        <v>14</v>
      </c>
      <c r="M8" s="7" t="n">
        <v>46247</v>
      </c>
      <c r="N8" s="6" t="s">
        <v>42</v>
      </c>
    </row>
    <row r="9" customFormat="false" ht="15" hidden="false" customHeight="true" outlineLevel="0" collapsed="false">
      <c r="A9" s="9"/>
      <c r="B9" s="9"/>
      <c r="C9" s="9"/>
      <c r="D9" s="10"/>
      <c r="E9" s="9"/>
      <c r="F9" s="9"/>
      <c r="G9" s="9"/>
      <c r="H9" s="9" t="str">
        <f aca="false">IF(OR(F9="",G9=""),"",F9*G9)</f>
        <v/>
      </c>
      <c r="I9" s="9"/>
      <c r="J9" s="9"/>
      <c r="K9" s="10"/>
      <c r="L9" s="9" t="str">
        <f aca="true">IF(I9="Closed","",IF(D9="","",TODAY()-D9))</f>
        <v/>
      </c>
      <c r="M9" s="10"/>
      <c r="N9" s="9"/>
    </row>
    <row r="10" customFormat="false" ht="15" hidden="false" customHeight="true" outlineLevel="0" collapsed="false">
      <c r="A10" s="9"/>
      <c r="B10" s="9"/>
      <c r="C10" s="9"/>
      <c r="D10" s="10"/>
      <c r="E10" s="9"/>
      <c r="F10" s="9"/>
      <c r="G10" s="9"/>
      <c r="H10" s="9" t="str">
        <f aca="false">IF(OR(F10="",G10=""),"",F10*G10)</f>
        <v/>
      </c>
      <c r="I10" s="9"/>
      <c r="J10" s="9"/>
      <c r="K10" s="10"/>
      <c r="L10" s="9" t="str">
        <f aca="true">IF(I10="Closed","",IF(D10="","",TODAY()-D10))</f>
        <v/>
      </c>
      <c r="M10" s="10"/>
      <c r="N10" s="9"/>
    </row>
    <row r="11" customFormat="false" ht="15" hidden="false" customHeight="true" outlineLevel="0" collapsed="false">
      <c r="A11" s="9"/>
      <c r="B11" s="9"/>
      <c r="C11" s="9"/>
      <c r="D11" s="10"/>
      <c r="E11" s="9"/>
      <c r="F11" s="9"/>
      <c r="G11" s="9"/>
      <c r="H11" s="9" t="str">
        <f aca="false">IF(OR(F11="",G11=""),"",F11*G11)</f>
        <v/>
      </c>
      <c r="I11" s="9"/>
      <c r="J11" s="9"/>
      <c r="K11" s="10"/>
      <c r="L11" s="9" t="str">
        <f aca="true">IF(I11="Closed","",IF(D11="","",TODAY()-D11))</f>
        <v/>
      </c>
      <c r="M11" s="10"/>
      <c r="N11" s="9"/>
    </row>
    <row r="12" customFormat="false" ht="15" hidden="false" customHeight="true" outlineLevel="0" collapsed="false">
      <c r="A12" s="9"/>
      <c r="B12" s="9"/>
      <c r="C12" s="9"/>
      <c r="D12" s="10"/>
      <c r="E12" s="9"/>
      <c r="F12" s="9"/>
      <c r="G12" s="9"/>
      <c r="H12" s="9" t="str">
        <f aca="false">IF(OR(F12="",G12=""),"",F12*G12)</f>
        <v/>
      </c>
      <c r="I12" s="9"/>
      <c r="J12" s="9"/>
      <c r="K12" s="10"/>
      <c r="L12" s="9" t="str">
        <f aca="true">IF(I12="Closed","",IF(D12="","",TODAY()-D12))</f>
        <v/>
      </c>
      <c r="M12" s="10"/>
      <c r="N12" s="9"/>
    </row>
    <row r="13" customFormat="false" ht="15" hidden="false" customHeight="true" outlineLevel="0" collapsed="false">
      <c r="A13" s="9"/>
      <c r="B13" s="9"/>
      <c r="C13" s="9"/>
      <c r="D13" s="10"/>
      <c r="E13" s="9"/>
      <c r="F13" s="9"/>
      <c r="G13" s="9"/>
      <c r="H13" s="9" t="str">
        <f aca="false">IF(OR(F13="",G13=""),"",F13*G13)</f>
        <v/>
      </c>
      <c r="I13" s="9"/>
      <c r="J13" s="9"/>
      <c r="K13" s="10"/>
      <c r="L13" s="9" t="str">
        <f aca="true">IF(I13="Closed","",IF(D13="","",TODAY()-D13))</f>
        <v/>
      </c>
      <c r="M13" s="10"/>
      <c r="N13" s="9"/>
    </row>
    <row r="14" customFormat="false" ht="15" hidden="false" customHeight="true" outlineLevel="0" collapsed="false">
      <c r="A14" s="9"/>
      <c r="B14" s="9"/>
      <c r="C14" s="9"/>
      <c r="D14" s="10"/>
      <c r="E14" s="9"/>
      <c r="F14" s="9"/>
      <c r="G14" s="9"/>
      <c r="H14" s="9" t="str">
        <f aca="false">IF(OR(F14="",G14=""),"",F14*G14)</f>
        <v/>
      </c>
      <c r="I14" s="9"/>
      <c r="J14" s="9"/>
      <c r="K14" s="10"/>
      <c r="L14" s="9" t="str">
        <f aca="true">IF(I14="Closed","",IF(D14="","",TODAY()-D14))</f>
        <v/>
      </c>
      <c r="M14" s="10"/>
      <c r="N14" s="9"/>
    </row>
    <row r="15" customFormat="false" ht="15" hidden="false" customHeight="true" outlineLevel="0" collapsed="false">
      <c r="A15" s="9"/>
      <c r="B15" s="9"/>
      <c r="C15" s="9"/>
      <c r="D15" s="10"/>
      <c r="E15" s="9"/>
      <c r="F15" s="9"/>
      <c r="G15" s="9"/>
      <c r="H15" s="9" t="str">
        <f aca="false">IF(OR(F15="",G15=""),"",F15*G15)</f>
        <v/>
      </c>
      <c r="I15" s="9"/>
      <c r="J15" s="9"/>
      <c r="K15" s="10"/>
      <c r="L15" s="9" t="str">
        <f aca="true">IF(I15="Closed","",IF(D15="","",TODAY()-D15))</f>
        <v/>
      </c>
      <c r="M15" s="10"/>
      <c r="N15" s="9"/>
    </row>
    <row r="16" customFormat="false" ht="15" hidden="false" customHeight="true" outlineLevel="0" collapsed="false">
      <c r="A16" s="9"/>
      <c r="B16" s="9"/>
      <c r="C16" s="9"/>
      <c r="D16" s="10"/>
      <c r="E16" s="9"/>
      <c r="F16" s="9"/>
      <c r="G16" s="9"/>
      <c r="H16" s="9" t="str">
        <f aca="false">IF(OR(F16="",G16=""),"",F16*G16)</f>
        <v/>
      </c>
      <c r="I16" s="9"/>
      <c r="J16" s="9"/>
      <c r="K16" s="10"/>
      <c r="L16" s="9" t="str">
        <f aca="true">IF(I16="Closed","",IF(D16="","",TODAY()-D16))</f>
        <v/>
      </c>
      <c r="M16" s="10"/>
      <c r="N16" s="9"/>
    </row>
    <row r="17" customFormat="false" ht="15" hidden="false" customHeight="true" outlineLevel="0" collapsed="false">
      <c r="A17" s="9"/>
      <c r="B17" s="9"/>
      <c r="C17" s="9"/>
      <c r="D17" s="10"/>
      <c r="E17" s="9"/>
      <c r="F17" s="9"/>
      <c r="G17" s="9"/>
      <c r="H17" s="9" t="str">
        <f aca="false">IF(OR(F17="",G17=""),"",F17*G17)</f>
        <v/>
      </c>
      <c r="I17" s="9"/>
      <c r="J17" s="9"/>
      <c r="K17" s="10"/>
      <c r="L17" s="9" t="str">
        <f aca="true">IF(I17="Closed","",IF(D17="","",TODAY()-D17))</f>
        <v/>
      </c>
      <c r="M17" s="10"/>
      <c r="N17" s="9"/>
    </row>
    <row r="18" customFormat="false" ht="15" hidden="false" customHeight="true" outlineLevel="0" collapsed="false">
      <c r="A18" s="9"/>
      <c r="B18" s="9"/>
      <c r="C18" s="9"/>
      <c r="D18" s="10"/>
      <c r="E18" s="9"/>
      <c r="F18" s="9"/>
      <c r="G18" s="9"/>
      <c r="H18" s="9" t="str">
        <f aca="false">IF(OR(F18="",G18=""),"",F18*G18)</f>
        <v/>
      </c>
      <c r="I18" s="9"/>
      <c r="J18" s="9"/>
      <c r="K18" s="10"/>
      <c r="L18" s="9" t="str">
        <f aca="true">IF(I18="Closed","",IF(D18="","",TODAY()-D18))</f>
        <v/>
      </c>
      <c r="M18" s="10"/>
      <c r="N18" s="9"/>
    </row>
    <row r="19" customFormat="false" ht="15" hidden="false" customHeight="true" outlineLevel="0" collapsed="false">
      <c r="A19" s="9"/>
      <c r="B19" s="9"/>
      <c r="C19" s="9"/>
      <c r="D19" s="10"/>
      <c r="E19" s="9"/>
      <c r="F19" s="9"/>
      <c r="G19" s="9"/>
      <c r="H19" s="9" t="str">
        <f aca="false">IF(OR(F19="",G19=""),"",F19*G19)</f>
        <v/>
      </c>
      <c r="I19" s="9"/>
      <c r="J19" s="9"/>
      <c r="K19" s="10"/>
      <c r="L19" s="9" t="str">
        <f aca="true">IF(I19="Closed","",IF(D19="","",TODAY()-D19))</f>
        <v/>
      </c>
      <c r="M19" s="10"/>
      <c r="N19" s="9"/>
    </row>
    <row r="20" customFormat="false" ht="15" hidden="false" customHeight="true" outlineLevel="0" collapsed="false">
      <c r="A20" s="9"/>
      <c r="B20" s="9"/>
      <c r="C20" s="9"/>
      <c r="D20" s="10"/>
      <c r="E20" s="9"/>
      <c r="F20" s="9"/>
      <c r="G20" s="9"/>
      <c r="H20" s="9" t="str">
        <f aca="false">IF(OR(F20="",G20=""),"",F20*G20)</f>
        <v/>
      </c>
      <c r="I20" s="9"/>
      <c r="J20" s="9"/>
      <c r="K20" s="10"/>
      <c r="L20" s="9" t="str">
        <f aca="true">IF(I20="Closed","",IF(D20="","",TODAY()-D20))</f>
        <v/>
      </c>
      <c r="M20" s="10"/>
      <c r="N20" s="9"/>
    </row>
    <row r="21" customFormat="false" ht="15" hidden="false" customHeight="true" outlineLevel="0" collapsed="false">
      <c r="A21" s="9"/>
      <c r="B21" s="9"/>
      <c r="C21" s="9"/>
      <c r="D21" s="10"/>
      <c r="E21" s="9"/>
      <c r="F21" s="9"/>
      <c r="G21" s="9"/>
      <c r="H21" s="9" t="str">
        <f aca="false">IF(OR(F21="",G21=""),"",F21*G21)</f>
        <v/>
      </c>
      <c r="I21" s="9"/>
      <c r="J21" s="9"/>
      <c r="K21" s="10"/>
      <c r="L21" s="9" t="str">
        <f aca="true">IF(I21="Closed","",IF(D21="","",TODAY()-D21))</f>
        <v/>
      </c>
      <c r="M21" s="10"/>
      <c r="N21" s="9"/>
    </row>
    <row r="22" customFormat="false" ht="15" hidden="false" customHeight="true" outlineLevel="0" collapsed="false">
      <c r="A22" s="9"/>
      <c r="B22" s="9"/>
      <c r="C22" s="9"/>
      <c r="D22" s="10"/>
      <c r="E22" s="9"/>
      <c r="F22" s="9"/>
      <c r="G22" s="9"/>
      <c r="H22" s="9" t="str">
        <f aca="false">IF(OR(F22="",G22=""),"",F22*G22)</f>
        <v/>
      </c>
      <c r="I22" s="9"/>
      <c r="J22" s="9"/>
      <c r="K22" s="10"/>
      <c r="L22" s="9" t="str">
        <f aca="true">IF(I22="Closed","",IF(D22="","",TODAY()-D22))</f>
        <v/>
      </c>
      <c r="M22" s="10"/>
      <c r="N22" s="9"/>
    </row>
    <row r="23" customFormat="false" ht="15" hidden="false" customHeight="true" outlineLevel="0" collapsed="false">
      <c r="A23" s="9"/>
      <c r="B23" s="9"/>
      <c r="C23" s="9"/>
      <c r="D23" s="10"/>
      <c r="E23" s="9"/>
      <c r="F23" s="9"/>
      <c r="G23" s="9"/>
      <c r="H23" s="9" t="str">
        <f aca="false">IF(OR(F23="",G23=""),"",F23*G23)</f>
        <v/>
      </c>
      <c r="I23" s="9"/>
      <c r="J23" s="9"/>
      <c r="K23" s="10"/>
      <c r="L23" s="9" t="str">
        <f aca="true">IF(I23="Closed","",IF(D23="","",TODAY()-D23))</f>
        <v/>
      </c>
      <c r="M23" s="10"/>
      <c r="N23" s="9"/>
    </row>
    <row r="24" customFormat="false" ht="15" hidden="false" customHeight="true" outlineLevel="0" collapsed="false">
      <c r="A24" s="9"/>
      <c r="B24" s="9"/>
      <c r="C24" s="9"/>
      <c r="D24" s="10"/>
      <c r="E24" s="9"/>
      <c r="F24" s="9"/>
      <c r="G24" s="9"/>
      <c r="H24" s="9" t="str">
        <f aca="false">IF(OR(F24="",G24=""),"",F24*G24)</f>
        <v/>
      </c>
      <c r="I24" s="9"/>
      <c r="J24" s="9"/>
      <c r="K24" s="10"/>
      <c r="L24" s="9" t="str">
        <f aca="true">IF(I24="Closed","",IF(D24="","",TODAY()-D24))</f>
        <v/>
      </c>
      <c r="M24" s="10"/>
      <c r="N24" s="9"/>
    </row>
    <row r="25" customFormat="false" ht="15" hidden="false" customHeight="true" outlineLevel="0" collapsed="false">
      <c r="A25" s="9"/>
      <c r="B25" s="9"/>
      <c r="C25" s="9"/>
      <c r="D25" s="10"/>
      <c r="E25" s="9"/>
      <c r="F25" s="9"/>
      <c r="G25" s="9"/>
      <c r="H25" s="9" t="str">
        <f aca="false">IF(OR(F25="",G25=""),"",F25*G25)</f>
        <v/>
      </c>
      <c r="I25" s="9"/>
      <c r="J25" s="9"/>
      <c r="K25" s="10"/>
      <c r="L25" s="9" t="str">
        <f aca="true">IF(I25="Closed","",IF(D25="","",TODAY()-D25))</f>
        <v/>
      </c>
      <c r="M25" s="10"/>
      <c r="N25" s="9"/>
    </row>
    <row r="26" customFormat="false" ht="15" hidden="false" customHeight="true" outlineLevel="0" collapsed="false">
      <c r="A26" s="9"/>
      <c r="B26" s="9"/>
      <c r="C26" s="9"/>
      <c r="D26" s="10"/>
      <c r="E26" s="9"/>
      <c r="F26" s="9"/>
      <c r="G26" s="9"/>
      <c r="H26" s="9" t="str">
        <f aca="false">IF(OR(F26="",G26=""),"",F26*G26)</f>
        <v/>
      </c>
      <c r="I26" s="9"/>
      <c r="J26" s="9"/>
      <c r="K26" s="10"/>
      <c r="L26" s="9" t="str">
        <f aca="true">IF(I26="Closed","",IF(D26="","",TODAY()-D26))</f>
        <v/>
      </c>
      <c r="M26" s="10"/>
      <c r="N26" s="9"/>
    </row>
    <row r="27" customFormat="false" ht="15" hidden="false" customHeight="true" outlineLevel="0" collapsed="false">
      <c r="A27" s="9"/>
      <c r="B27" s="9"/>
      <c r="C27" s="9"/>
      <c r="D27" s="10"/>
      <c r="E27" s="9"/>
      <c r="F27" s="9"/>
      <c r="G27" s="9"/>
      <c r="H27" s="9" t="str">
        <f aca="false">IF(OR(F27="",G27=""),"",F27*G27)</f>
        <v/>
      </c>
      <c r="I27" s="9"/>
      <c r="J27" s="9"/>
      <c r="K27" s="10"/>
      <c r="L27" s="9" t="str">
        <f aca="true">IF(I27="Closed","",IF(D27="","",TODAY()-D27))</f>
        <v/>
      </c>
      <c r="M27" s="10"/>
      <c r="N27" s="9"/>
    </row>
    <row r="28" customFormat="false" ht="15" hidden="false" customHeight="true" outlineLevel="0" collapsed="false">
      <c r="A28" s="9"/>
      <c r="B28" s="9"/>
      <c r="C28" s="9"/>
      <c r="D28" s="10"/>
      <c r="E28" s="9"/>
      <c r="F28" s="9"/>
      <c r="G28" s="9"/>
      <c r="H28" s="9" t="str">
        <f aca="false">IF(OR(F28="",G28=""),"",F28*G28)</f>
        <v/>
      </c>
      <c r="I28" s="9"/>
      <c r="J28" s="9"/>
      <c r="K28" s="10"/>
      <c r="L28" s="9" t="str">
        <f aca="true">IF(I28="Closed","",IF(D28="","",TODAY()-D28))</f>
        <v/>
      </c>
      <c r="M28" s="10"/>
      <c r="N28" s="9"/>
    </row>
  </sheetData>
  <conditionalFormatting sqref="I5:I28">
    <cfRule type="cellIs" priority="2" operator="equal" aboveAverage="0" equalAverage="0" bottom="0" percent="0" rank="0" text="" dxfId="0">
      <formula>"Open"</formula>
    </cfRule>
    <cfRule type="cellIs" priority="3" operator="equal" aboveAverage="0" equalAverage="0" bottom="0" percent="0" rank="0" text="" dxfId="1">
      <formula>"Monitoring"</formula>
    </cfRule>
    <cfRule type="cellIs" priority="4" operator="equal" aboveAverage="0" equalAverage="0" bottom="0" percent="0" rank="0" text="" dxfId="2">
      <formula>"Escalated"</formula>
    </cfRule>
    <cfRule type="cellIs" priority="5" operator="equal" aboveAverage="0" equalAverage="0" bottom="0" percent="0" rank="0" text="" dxfId="3">
      <formula>"Closed"</formula>
    </cfRule>
  </conditionalFormatting>
  <conditionalFormatting sqref="H5:H28">
    <cfRule type="cellIs" priority="6" operator="greaterThanOrEqual" aboveAverage="0" equalAverage="0" bottom="0" percent="0" rank="0" text="" dxfId="2">
      <formula>15</formula>
    </cfRule>
    <cfRule type="cellIs" priority="7" operator="between" aboveAverage="0" equalAverage="0" bottom="0" percent="0" rank="0" text="" dxfId="4">
      <formula>8</formula>
      <formula>14</formula>
    </cfRule>
  </conditionalFormatting>
  <dataValidations count="3">
    <dataValidation allowBlank="true" errorStyle="stop" operator="between" showDropDown="false" showErrorMessage="false" showInputMessage="false" sqref="B5:B28" type="list">
      <formula1>"Risk,Assumption,Issue,Dependency"</formula1>
      <formula2>0</formula2>
    </dataValidation>
    <dataValidation allowBlank="true" errorStyle="stop" operator="between" showDropDown="false" showErrorMessage="false" showInputMessage="false" sqref="I5:I28" type="list">
      <formula1>"Open,Monitoring,Escalated,Closed"</formula1>
      <formula2>0</formula2>
    </dataValidation>
    <dataValidation allowBlank="true" errorStyle="stop" operator="between" showDropDown="false" showErrorMessage="false" showInputMessage="false" sqref="F5:G28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0"/>
  </cols>
  <sheetData>
    <row r="1" customFormat="false" ht="19.5" hidden="false" customHeight="true" outlineLevel="0" collapsed="false">
      <c r="A1" s="11" t="s">
        <v>43</v>
      </c>
      <c r="B1" s="11"/>
    </row>
    <row r="3" customFormat="false" ht="45" hidden="false" customHeight="true" outlineLevel="0" collapsed="false">
      <c r="A3" s="12" t="s">
        <v>3</v>
      </c>
      <c r="B3" s="13" t="s">
        <v>44</v>
      </c>
    </row>
    <row r="5" customFormat="false" ht="45" hidden="false" customHeight="true" outlineLevel="0" collapsed="false">
      <c r="A5" s="12" t="s">
        <v>45</v>
      </c>
      <c r="B5" s="13" t="s">
        <v>46</v>
      </c>
    </row>
    <row r="7" customFormat="false" ht="45" hidden="false" customHeight="true" outlineLevel="0" collapsed="false">
      <c r="A7" s="12" t="s">
        <v>9</v>
      </c>
      <c r="B7" s="13" t="s">
        <v>47</v>
      </c>
    </row>
    <row r="9" customFormat="false" ht="45" hidden="false" customHeight="true" outlineLevel="0" collapsed="false">
      <c r="A9" s="12" t="s">
        <v>10</v>
      </c>
      <c r="B9" s="13" t="s">
        <v>48</v>
      </c>
    </row>
    <row r="11" customFormat="false" ht="45" hidden="false" customHeight="true" outlineLevel="0" collapsed="false">
      <c r="A11" s="12" t="s">
        <v>13</v>
      </c>
      <c r="B11" s="13" t="s">
        <v>49</v>
      </c>
    </row>
    <row r="13" customFormat="false" ht="45" hidden="false" customHeight="true" outlineLevel="0" collapsed="false">
      <c r="A13" s="12" t="s">
        <v>50</v>
      </c>
      <c r="B13" s="13" t="s">
        <v>51</v>
      </c>
    </row>
    <row r="15" customFormat="false" ht="45" hidden="false" customHeight="true" outlineLevel="0" collapsed="false">
      <c r="A15" s="12" t="s">
        <v>52</v>
      </c>
      <c r="B15" s="13" t="s">
        <v>53</v>
      </c>
    </row>
    <row r="18" customFormat="false" ht="16.15" hidden="false" customHeight="false" outlineLevel="0" collapsed="false">
      <c r="A18" s="14" t="s">
        <v>54</v>
      </c>
      <c r="B18" s="14"/>
    </row>
    <row r="20" customFormat="false" ht="49.5" hidden="false" customHeight="true" outlineLevel="0" collapsed="false">
      <c r="A20" s="15" t="s">
        <v>55</v>
      </c>
      <c r="B20" s="13" t="s">
        <v>56</v>
      </c>
    </row>
    <row r="22" customFormat="false" ht="49.5" hidden="false" customHeight="true" outlineLevel="0" collapsed="false">
      <c r="A22" s="15" t="s">
        <v>57</v>
      </c>
      <c r="B22" s="13" t="s">
        <v>58</v>
      </c>
    </row>
    <row r="24" customFormat="false" ht="49.5" hidden="false" customHeight="true" outlineLevel="0" collapsed="false">
      <c r="A24" s="15" t="s">
        <v>59</v>
      </c>
      <c r="B24" s="13" t="s">
        <v>60</v>
      </c>
    </row>
    <row r="26" customFormat="false" ht="49.5" hidden="false" customHeight="true" outlineLevel="0" collapsed="false">
      <c r="A26" s="15" t="s">
        <v>61</v>
      </c>
      <c r="B26" s="13" t="s">
        <v>62</v>
      </c>
    </row>
    <row r="28" customFormat="false" ht="49.5" hidden="false" customHeight="true" outlineLevel="0" collapsed="false">
      <c r="A28" s="15" t="s">
        <v>63</v>
      </c>
      <c r="B28" s="13" t="s">
        <v>64</v>
      </c>
    </row>
    <row r="30" customFormat="false" ht="49.5" hidden="false" customHeight="true" outlineLevel="0" collapsed="false">
      <c r="A30" s="15" t="s">
        <v>65</v>
      </c>
      <c r="B30" s="13" t="s">
        <v>66</v>
      </c>
    </row>
  </sheetData>
  <mergeCells count="2">
    <mergeCell ref="A1:B1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2026-08-14T14:12:09Z</dcterms:created>
  <dc:creator>openpyxl</dc:creator>
  <dc:description/>
  <dc:language>en-US</dc:language>
  <cp:lastModifiedBy/>
  <dcterms:modified xsi:type="dcterms:W3CDTF">2026-08-14T14:40:39Z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